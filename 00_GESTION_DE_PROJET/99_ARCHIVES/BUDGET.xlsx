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<sst xmlns="http://schemas.openxmlformats.org/spreadsheetml/2006/main" count="20" uniqueCount="20">
  <si>
    <t>Taux Recommandé</t>
  </si>
  <si>
    <t>Rapprochement du coût employeur interne (charges incluses) d'un profil junior</t>
  </si>
  <si>
    <t>Scénario de Valorisation</t>
  </si>
  <si>
    <t>Volume de Travail (Heures)</t>
  </si>
  <si>
    <t>Taux Horaire (€/h)</t>
  </si>
  <si>
    <t>Valorisation Totale (€)</t>
  </si>
  <si>
    <t>consulting</t>
  </si>
  <si>
    <t xml:space="preserve">Scénario </t>
  </si>
  <si>
    <t xml:space="preserve">TOTAL </t>
  </si>
  <si>
    <t>Paramètre</t>
  </si>
  <si>
    <t>Valeur</t>
  </si>
  <si>
    <t>Unité</t>
  </si>
  <si>
    <t>Étudiants mobilisés</t>
  </si>
  <si>
    <t>Personnes</t>
  </si>
  <si>
    <t>Effort hebdomadaire par étudiant</t>
  </si>
  <si>
    <t>Heures / semaine</t>
  </si>
  <si>
    <t>Durée travaillée du projet</t>
  </si>
  <si>
    <t>Semaines (sur 78)</t>
  </si>
  <si>
    <t>Total Heures-Projet</t>
  </si>
  <si>
    <t>Heures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</si>
</sst>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"/>
      <c r="B1" s="1"/>
      <c r="C1" s="1"/>
    </row>
    <row r="2">
      <c r="A2" s="1"/>
      <c r="B2" s="1"/>
      <c r="C2" s="1"/>
    </row>
    <row r="3">
      <c r="A3" s="1" t="s">
        <v>0</v>
      </c>
      <c r="B3" s="1">
        <v>30.0</v>
      </c>
      <c r="C3" s="1" t="s">
        <v>1</v>
      </c>
    </row>
    <row r="4">
      <c r="A4" s="1"/>
      <c r="B4" s="1"/>
      <c r="C4" s="1"/>
    </row>
    <row r="6">
      <c r="A6" s="2" t="s">
        <v>2</v>
      </c>
      <c r="B6" s="2" t="s">
        <v>3</v>
      </c>
      <c r="C6" s="2" t="s">
        <v>4</v>
      </c>
      <c r="D6" s="2" t="s">
        <v>5</v>
      </c>
    </row>
    <row r="7">
      <c r="A7" s="1" t="s">
        <v>6</v>
      </c>
      <c r="B7" s="1">
        <v>10.0</v>
      </c>
      <c r="C7" s="1">
        <v>80.0</v>
      </c>
      <c r="D7" s="1">
        <f> B7*C7</f>
        <v>800</v>
      </c>
      <c r="G7" s="3"/>
    </row>
    <row r="8">
      <c r="A8" s="4" t="s">
        <v>7</v>
      </c>
      <c r="B8" s="1">
        <f> B14*B13 *B12</f>
        <v>1240</v>
      </c>
      <c r="C8" s="1">
        <v>30.0</v>
      </c>
      <c r="D8" s="4">
        <f>B8*C8</f>
        <v>37200</v>
      </c>
      <c r="G8" s="1"/>
    </row>
    <row r="9">
      <c r="A9" s="1" t="s">
        <v>8</v>
      </c>
      <c r="B9" s="1">
        <f> B7+B8</f>
        <v>1250</v>
      </c>
      <c r="C9" s="3"/>
      <c r="D9" s="5">
        <f> D7+D8</f>
        <v>38000</v>
      </c>
      <c r="G9" s="4"/>
    </row>
    <row r="10">
      <c r="G10" s="1"/>
    </row>
    <row r="11">
      <c r="A11" s="6" t="s">
        <v>9</v>
      </c>
      <c r="B11" s="6" t="s">
        <v>10</v>
      </c>
      <c r="C11" s="6" t="s">
        <v>11</v>
      </c>
    </row>
    <row r="12">
      <c r="A12" s="1" t="s">
        <v>12</v>
      </c>
      <c r="B12" s="1">
        <v>8.0</v>
      </c>
      <c r="C12" s="1" t="s">
        <v>13</v>
      </c>
    </row>
    <row r="13">
      <c r="A13" s="1" t="s">
        <v>14</v>
      </c>
      <c r="B13" s="1">
        <v>2.5</v>
      </c>
      <c r="C13" s="1" t="s">
        <v>15</v>
      </c>
    </row>
    <row r="14">
      <c r="A14" s="1" t="s">
        <v>16</v>
      </c>
      <c r="B14" s="1">
        <v>62.0</v>
      </c>
      <c r="C14" s="1" t="s">
        <v>17</v>
      </c>
    </row>
    <row r="15">
      <c r="A15" s="4" t="s">
        <v>18</v>
      </c>
      <c r="B15" s="4">
        <v>1240.0</v>
      </c>
      <c r="C15" s="1" t="s">
        <v>19</v>
      </c>
    </row>
  </sheetData>
  <drawing r:id="rId1"/>
</worksheet>
</file>